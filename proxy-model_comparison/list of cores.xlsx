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uqam-my.sharepoint.com/personal/dk691110_ens_uqam_ca/Documents/PMIP-MLD_comparison/"/>
    </mc:Choice>
  </mc:AlternateContent>
  <xr:revisionPtr revIDLastSave="76" documentId="11_F25DC773A252ABDACC10481599D975945BDE58EB" xr6:coauthVersionLast="47" xr6:coauthVersionMax="47" xr10:uidLastSave="{D28E0EA9-1FD4-4299-8DC9-191C06E4210B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" i="1"/>
</calcChain>
</file>

<file path=xl/sharedStrings.xml><?xml version="1.0" encoding="utf-8"?>
<sst xmlns="http://schemas.openxmlformats.org/spreadsheetml/2006/main" count="84" uniqueCount="83">
  <si>
    <t>Latitude</t>
  </si>
  <si>
    <t>Longitude</t>
  </si>
  <si>
    <t>066A</t>
  </si>
  <si>
    <t>P4</t>
  </si>
  <si>
    <t>020</t>
  </si>
  <si>
    <t>P21</t>
  </si>
  <si>
    <t>029</t>
  </si>
  <si>
    <t>P13</t>
  </si>
  <si>
    <t>030</t>
  </si>
  <si>
    <t>MD27</t>
  </si>
  <si>
    <t>043</t>
  </si>
  <si>
    <t>P94</t>
  </si>
  <si>
    <t>042</t>
  </si>
  <si>
    <t>TW85</t>
  </si>
  <si>
    <t>041</t>
  </si>
  <si>
    <t>P80</t>
  </si>
  <si>
    <t>054</t>
  </si>
  <si>
    <t>MD54</t>
  </si>
  <si>
    <t>040</t>
  </si>
  <si>
    <t>P72</t>
  </si>
  <si>
    <t>013</t>
  </si>
  <si>
    <t>HM25</t>
  </si>
  <si>
    <t>159B</t>
  </si>
  <si>
    <t>G1</t>
  </si>
  <si>
    <t>049</t>
  </si>
  <si>
    <t>GIK1</t>
  </si>
  <si>
    <t>085</t>
  </si>
  <si>
    <t>PS47</t>
  </si>
  <si>
    <t>071A</t>
  </si>
  <si>
    <t>PS43</t>
  </si>
  <si>
    <t>086</t>
  </si>
  <si>
    <t>PS42</t>
  </si>
  <si>
    <t>087A</t>
  </si>
  <si>
    <t>M71</t>
  </si>
  <si>
    <t>125</t>
  </si>
  <si>
    <t>M11</t>
  </si>
  <si>
    <t>126</t>
  </si>
  <si>
    <t>HM43</t>
  </si>
  <si>
    <t>128</t>
  </si>
  <si>
    <t>M62</t>
  </si>
  <si>
    <t>129</t>
  </si>
  <si>
    <t>M80</t>
  </si>
  <si>
    <t>130</t>
  </si>
  <si>
    <t>PS30</t>
  </si>
  <si>
    <t>084A</t>
  </si>
  <si>
    <t>M52</t>
  </si>
  <si>
    <t>017B</t>
  </si>
  <si>
    <t>MSM2</t>
  </si>
  <si>
    <t>142</t>
  </si>
  <si>
    <t>PS63</t>
  </si>
  <si>
    <t>HU2008-029-004</t>
  </si>
  <si>
    <t>HU-84-030-21PC</t>
  </si>
  <si>
    <t>HU90-013-013</t>
  </si>
  <si>
    <t>MD99-2227</t>
  </si>
  <si>
    <t>HU91-045-094</t>
  </si>
  <si>
    <t>HU91-045-085TWC</t>
  </si>
  <si>
    <t>HU91-045-080</t>
  </si>
  <si>
    <t>MD99-2254</t>
  </si>
  <si>
    <t>HU91-045-072</t>
  </si>
  <si>
    <t>HM03-133-25</t>
  </si>
  <si>
    <t>DA12-11/2-GC01</t>
  </si>
  <si>
    <t>GIK23323-1</t>
  </si>
  <si>
    <t>PS1247</t>
  </si>
  <si>
    <t>PS1243-1/2</t>
  </si>
  <si>
    <t>PS1842</t>
  </si>
  <si>
    <t>M23071</t>
  </si>
  <si>
    <t>M23411</t>
  </si>
  <si>
    <t>HM52-43</t>
  </si>
  <si>
    <t>M23062-3</t>
  </si>
  <si>
    <t>M23480-2</t>
  </si>
  <si>
    <t>PS1730-1/2</t>
  </si>
  <si>
    <t>M23352</t>
  </si>
  <si>
    <t>MSM5/5-712-2</t>
  </si>
  <si>
    <t>PS2863-1</t>
  </si>
  <si>
    <t>Site_</t>
  </si>
  <si>
    <t>shortName</t>
  </si>
  <si>
    <t>coreName</t>
  </si>
  <si>
    <t>coreTop_calBP_</t>
  </si>
  <si>
    <t>MLDbaseline</t>
  </si>
  <si>
    <t>MLDmidHolocene</t>
  </si>
  <si>
    <t>Anomalie</t>
    <phoneticPr fontId="4" type="noConversion"/>
  </si>
  <si>
    <t>SIbaseline</t>
  </si>
  <si>
    <t>SImidHolocene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</si>
</sst>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1" applyAlignment="1"/>
    <xf numFmtId="0" fontId="3" fillId="4" borderId="0" xfId="3" applyAlignment="1"/>
    <xf numFmtId="0" fontId="0" fillId="5" borderId="0" xfId="0" applyFill="1"/>
    <xf numFmtId="0" fontId="2" fillId="3" borderId="0" xfId="2" applyAlignment="1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selection activeCell="L2" sqref="L2:L25"/>
    </sheetView>
  </sheetViews>
  <sheetFormatPr defaultColWidth="8.875" defaultRowHeight="14.25"/>
  <cols>
    <col min="1" max="1" width="5.375" customWidth="1"/>
    <col min="2" max="2" width="10.25" customWidth="1"/>
    <col min="3" max="3" width="17.5" bestFit="1" customWidth="1"/>
    <col min="4" max="4" width="7.75" customWidth="1"/>
    <col min="5" max="5" width="9.375" customWidth="1"/>
    <col min="6" max="6" width="13.75" customWidth="1"/>
    <col min="7" max="7" width="11.5" customWidth="1"/>
    <col min="8" max="8" width="15.75" customWidth="1"/>
    <col min="9" max="9" width="12.5" customWidth="1"/>
    <col min="10" max="11" width="13.5" customWidth="1"/>
  </cols>
  <sheetData>
    <row r="1" spans="1:12">
      <c r="A1" t="s">
        <v>74</v>
      </c>
      <c r="B1" t="s">
        <v>75</v>
      </c>
      <c r="C1" t="s">
        <v>76</v>
      </c>
      <c r="D1" t="s">
        <v>0</v>
      </c>
      <c r="E1" t="s">
        <v>1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  <c r="K1" t="s">
        <v>82</v>
      </c>
      <c r="L1" t="s">
        <v>80</v>
      </c>
    </row>
    <row r="2" spans="1:12">
      <c r="A2" t="s">
        <v>2</v>
      </c>
      <c r="B2" t="s">
        <v>3</v>
      </c>
      <c r="C2" t="s">
        <v>50</v>
      </c>
      <c r="D2">
        <v>61.46</v>
      </c>
      <c r="E2">
        <v>-58.03</v>
      </c>
      <c r="F2" s="1">
        <v>40</v>
      </c>
      <c r="G2">
        <v>145.50918628136387</v>
      </c>
      <c r="H2">
        <v>44.890466420000003</v>
      </c>
      <c r="I2">
        <v>-100.61871986136387</v>
      </c>
      <c r="J2">
        <v>39.587040497028539</v>
      </c>
      <c r="K2">
        <v>23.909860925333334</v>
      </c>
      <c r="L2">
        <f>K2-J2</f>
        <v>-15.677179571695206</v>
      </c>
    </row>
    <row r="3" spans="1:12">
      <c r="A3" t="s">
        <v>4</v>
      </c>
      <c r="B3" t="s">
        <v>5</v>
      </c>
      <c r="C3" t="s">
        <v>51</v>
      </c>
      <c r="D3">
        <v>58.37</v>
      </c>
      <c r="E3">
        <v>-57.51</v>
      </c>
      <c r="F3">
        <v>1968</v>
      </c>
      <c r="G3">
        <v>240.159037098303</v>
      </c>
      <c r="H3">
        <v>151.078213275</v>
      </c>
      <c r="I3">
        <v>-89.080823823303007</v>
      </c>
      <c r="J3">
        <v>4.8723344739999996</v>
      </c>
      <c r="K3">
        <v>12.220340221000001</v>
      </c>
      <c r="L3">
        <f t="shared" ref="L3:L25" si="0">K3-J3</f>
        <v>7.3480057470000011</v>
      </c>
    </row>
    <row r="4" spans="1:12">
      <c r="A4" t="s">
        <v>6</v>
      </c>
      <c r="B4" t="s">
        <v>7</v>
      </c>
      <c r="C4" t="s">
        <v>52</v>
      </c>
      <c r="D4">
        <v>58.21</v>
      </c>
      <c r="E4">
        <v>-48.31</v>
      </c>
      <c r="F4">
        <v>1362</v>
      </c>
      <c r="G4">
        <v>228.57500294355867</v>
      </c>
      <c r="H4">
        <v>134.38007854</v>
      </c>
      <c r="I4">
        <v>-94.194924403558673</v>
      </c>
      <c r="J4">
        <v>2.5367796851292304</v>
      </c>
      <c r="K4">
        <v>7.3035020692000003</v>
      </c>
      <c r="L4">
        <f t="shared" si="0"/>
        <v>4.7667223840707695</v>
      </c>
    </row>
    <row r="5" spans="1:12">
      <c r="A5" t="s">
        <v>8</v>
      </c>
      <c r="B5" t="s">
        <v>9</v>
      </c>
      <c r="C5" t="s">
        <v>53</v>
      </c>
      <c r="D5">
        <v>58.21</v>
      </c>
      <c r="E5">
        <v>-48.37</v>
      </c>
      <c r="F5" s="4">
        <v>753</v>
      </c>
      <c r="G5">
        <v>214.14540252978429</v>
      </c>
      <c r="H5">
        <v>119.3601250225</v>
      </c>
      <c r="I5">
        <v>-94.785277507284292</v>
      </c>
      <c r="J5">
        <v>2.524580017525127</v>
      </c>
      <c r="K5">
        <v>13.482125008333334</v>
      </c>
      <c r="L5">
        <f t="shared" si="0"/>
        <v>10.957544990808207</v>
      </c>
    </row>
    <row r="6" spans="1:12">
      <c r="A6" t="s">
        <v>10</v>
      </c>
      <c r="B6" t="s">
        <v>11</v>
      </c>
      <c r="C6" t="s">
        <v>54</v>
      </c>
      <c r="D6">
        <v>50.2</v>
      </c>
      <c r="E6">
        <v>-45.69</v>
      </c>
      <c r="F6">
        <v>1321</v>
      </c>
      <c r="G6">
        <v>95.817130715449125</v>
      </c>
      <c r="H6">
        <v>236.03228354999999</v>
      </c>
      <c r="I6">
        <v>140.21515283455085</v>
      </c>
      <c r="J6">
        <v>9.9534658378841865</v>
      </c>
      <c r="K6">
        <v>15.644425282166665</v>
      </c>
      <c r="L6">
        <f t="shared" si="0"/>
        <v>5.6909594442824787</v>
      </c>
    </row>
    <row r="7" spans="1:12">
      <c r="A7" t="s">
        <v>12</v>
      </c>
      <c r="B7" t="s">
        <v>13</v>
      </c>
      <c r="C7" t="s">
        <v>55</v>
      </c>
      <c r="D7">
        <v>53.98</v>
      </c>
      <c r="E7">
        <v>-38.64</v>
      </c>
      <c r="F7" s="1">
        <v>13</v>
      </c>
      <c r="G7">
        <v>235.36650056378713</v>
      </c>
      <c r="H7">
        <v>202.24397759999999</v>
      </c>
      <c r="I7">
        <v>-33.122522963787134</v>
      </c>
      <c r="J7">
        <v>3.5833341068041231</v>
      </c>
      <c r="K7">
        <v>8.8747691954666656</v>
      </c>
      <c r="L7">
        <f t="shared" si="0"/>
        <v>5.2914350886625421</v>
      </c>
    </row>
    <row r="8" spans="1:12">
      <c r="A8" s="3" t="s">
        <v>14</v>
      </c>
      <c r="B8" s="3" t="s">
        <v>15</v>
      </c>
      <c r="C8" s="3" t="s">
        <v>56</v>
      </c>
      <c r="D8" s="3">
        <v>53.06</v>
      </c>
      <c r="E8" s="3">
        <v>-33.53</v>
      </c>
      <c r="F8">
        <v>5347</v>
      </c>
      <c r="G8">
        <v>228.33616351160799</v>
      </c>
      <c r="H8">
        <v>252.26427169999999</v>
      </c>
      <c r="I8">
        <v>23.928108188392002</v>
      </c>
      <c r="J8">
        <v>5.2429886000000002E-2</v>
      </c>
      <c r="K8">
        <v>0</v>
      </c>
      <c r="L8">
        <f t="shared" si="0"/>
        <v>-5.2429886000000002E-2</v>
      </c>
    </row>
    <row r="9" spans="1:12">
      <c r="A9" t="s">
        <v>16</v>
      </c>
      <c r="B9" t="s">
        <v>17</v>
      </c>
      <c r="C9" t="s">
        <v>57</v>
      </c>
      <c r="D9">
        <v>56.8</v>
      </c>
      <c r="E9">
        <v>-30.66</v>
      </c>
      <c r="F9">
        <v>2512</v>
      </c>
      <c r="G9">
        <v>261.47755532209607</v>
      </c>
      <c r="H9">
        <v>163.37030395714285</v>
      </c>
      <c r="I9">
        <v>-98.107251364953214</v>
      </c>
      <c r="J9">
        <v>1.365537821649027</v>
      </c>
      <c r="K9">
        <v>6.7169326698571421</v>
      </c>
      <c r="L9">
        <f t="shared" si="0"/>
        <v>5.3513948482081153</v>
      </c>
    </row>
    <row r="10" spans="1:12">
      <c r="A10" t="s">
        <v>18</v>
      </c>
      <c r="B10" t="s">
        <v>19</v>
      </c>
      <c r="C10" t="s">
        <v>58</v>
      </c>
      <c r="D10">
        <v>58.94</v>
      </c>
      <c r="E10">
        <v>-28.74</v>
      </c>
      <c r="F10">
        <v>5312</v>
      </c>
      <c r="G10">
        <v>278.75406321593198</v>
      </c>
      <c r="H10">
        <v>146.85355353818181</v>
      </c>
      <c r="I10">
        <v>-131.90050967775016</v>
      </c>
      <c r="J10">
        <v>2.5397884990000001</v>
      </c>
      <c r="K10">
        <v>11.685512955060604</v>
      </c>
      <c r="L10">
        <f t="shared" si="0"/>
        <v>9.1457244560606039</v>
      </c>
    </row>
    <row r="11" spans="1:12">
      <c r="A11" t="s">
        <v>20</v>
      </c>
      <c r="B11" t="s">
        <v>21</v>
      </c>
      <c r="C11" t="s">
        <v>59</v>
      </c>
      <c r="D11">
        <v>60.11</v>
      </c>
      <c r="E11">
        <v>-6.07</v>
      </c>
      <c r="F11" s="4">
        <v>757</v>
      </c>
      <c r="G11">
        <v>238.60138172691654</v>
      </c>
      <c r="H11">
        <v>177.86400660500001</v>
      </c>
      <c r="I11">
        <v>-60.737375121916529</v>
      </c>
      <c r="J11">
        <v>0.40006612407153413</v>
      </c>
      <c r="K11">
        <v>6.0378907966666677</v>
      </c>
      <c r="L11">
        <f t="shared" si="0"/>
        <v>5.6378246725951335</v>
      </c>
    </row>
    <row r="12" spans="1:12">
      <c r="A12" t="s">
        <v>22</v>
      </c>
      <c r="B12" t="s">
        <v>23</v>
      </c>
      <c r="C12" t="s">
        <v>60</v>
      </c>
      <c r="D12">
        <v>61.61</v>
      </c>
      <c r="E12">
        <v>-20.7</v>
      </c>
      <c r="F12" s="1">
        <v>-54</v>
      </c>
      <c r="G12">
        <v>148.55545447786645</v>
      </c>
      <c r="H12">
        <v>207.19834112499998</v>
      </c>
      <c r="I12">
        <v>58.642886647133537</v>
      </c>
      <c r="J12">
        <v>13.958268401209176</v>
      </c>
      <c r="K12">
        <v>0.50606839433333339</v>
      </c>
      <c r="L12">
        <f t="shared" si="0"/>
        <v>-13.452200006875843</v>
      </c>
    </row>
    <row r="13" spans="1:12">
      <c r="A13" t="s">
        <v>24</v>
      </c>
      <c r="B13" t="s">
        <v>25</v>
      </c>
      <c r="C13" t="s">
        <v>61</v>
      </c>
      <c r="D13">
        <v>67.77</v>
      </c>
      <c r="E13">
        <v>5.92</v>
      </c>
      <c r="F13">
        <v>1015</v>
      </c>
      <c r="G13">
        <v>224.09433576499319</v>
      </c>
      <c r="H13">
        <v>200.80363720909091</v>
      </c>
      <c r="I13">
        <v>-23.290698555902281</v>
      </c>
      <c r="J13">
        <v>0.69976005040408373</v>
      </c>
      <c r="K13">
        <v>3.2690448321818182</v>
      </c>
      <c r="L13">
        <f t="shared" si="0"/>
        <v>2.5692847817777347</v>
      </c>
    </row>
    <row r="14" spans="1:12">
      <c r="A14" t="s">
        <v>26</v>
      </c>
      <c r="B14" t="s">
        <v>27</v>
      </c>
      <c r="C14" t="s">
        <v>62</v>
      </c>
      <c r="D14">
        <v>69.489999999999995</v>
      </c>
      <c r="E14">
        <v>-17.12</v>
      </c>
      <c r="F14">
        <v>1492</v>
      </c>
      <c r="G14">
        <v>184.66693125998523</v>
      </c>
      <c r="H14">
        <v>252.36846728</v>
      </c>
      <c r="I14">
        <v>67.701536020014771</v>
      </c>
      <c r="J14">
        <v>48.027789901653968</v>
      </c>
      <c r="K14">
        <v>34.353245298666664</v>
      </c>
      <c r="L14">
        <f t="shared" si="0"/>
        <v>-13.674544602987304</v>
      </c>
    </row>
    <row r="15" spans="1:12">
      <c r="A15" s="3" t="s">
        <v>28</v>
      </c>
      <c r="B15" s="3" t="s">
        <v>29</v>
      </c>
      <c r="C15" s="3" t="s">
        <v>63</v>
      </c>
      <c r="D15" s="3">
        <v>69.38</v>
      </c>
      <c r="E15" s="3">
        <v>-6.53</v>
      </c>
      <c r="F15">
        <v>1531</v>
      </c>
      <c r="G15">
        <v>211.78376779798685</v>
      </c>
      <c r="H15">
        <v>142.72056240000001</v>
      </c>
      <c r="I15">
        <v>-69.063205397986849</v>
      </c>
      <c r="J15">
        <v>10.719057883551296</v>
      </c>
      <c r="K15">
        <v>0.17552758700000001</v>
      </c>
      <c r="L15">
        <f t="shared" si="0"/>
        <v>-10.543530296551296</v>
      </c>
    </row>
    <row r="16" spans="1:12">
      <c r="A16" t="s">
        <v>30</v>
      </c>
      <c r="B16" t="s">
        <v>31</v>
      </c>
      <c r="C16" t="s">
        <v>64</v>
      </c>
      <c r="D16">
        <v>69.459999999999994</v>
      </c>
      <c r="E16">
        <v>-16.53</v>
      </c>
      <c r="F16" s="1">
        <v>0</v>
      </c>
      <c r="G16">
        <v>225.07136364883615</v>
      </c>
      <c r="H16">
        <v>223.68549490000001</v>
      </c>
      <c r="I16">
        <v>-1.3858687488361454</v>
      </c>
      <c r="J16">
        <v>36.598188038353463</v>
      </c>
      <c r="K16">
        <v>24.226334489999999</v>
      </c>
      <c r="L16">
        <f t="shared" si="0"/>
        <v>-12.371853548353464</v>
      </c>
    </row>
    <row r="17" spans="1:12">
      <c r="A17" s="3" t="s">
        <v>32</v>
      </c>
      <c r="B17" s="3" t="s">
        <v>33</v>
      </c>
      <c r="C17" s="3" t="s">
        <v>65</v>
      </c>
      <c r="D17" s="3">
        <v>67.09</v>
      </c>
      <c r="E17" s="3">
        <v>2.91</v>
      </c>
      <c r="F17">
        <v>1794</v>
      </c>
      <c r="G17">
        <v>209.548399549501</v>
      </c>
      <c r="H17">
        <v>206.8698622</v>
      </c>
      <c r="I17">
        <v>-2.6785373495009992</v>
      </c>
      <c r="J17">
        <v>0.42662298799999998</v>
      </c>
      <c r="K17">
        <v>1.5254321773333335</v>
      </c>
      <c r="L17">
        <f t="shared" si="0"/>
        <v>1.0988091893333336</v>
      </c>
    </row>
    <row r="18" spans="1:12">
      <c r="A18" s="3" t="s">
        <v>34</v>
      </c>
      <c r="B18" s="3" t="s">
        <v>35</v>
      </c>
      <c r="C18" s="3" t="s">
        <v>66</v>
      </c>
      <c r="D18" s="3">
        <v>65.8</v>
      </c>
      <c r="E18" s="3">
        <v>-3.5</v>
      </c>
      <c r="F18">
        <v>1576</v>
      </c>
      <c r="G18">
        <v>135.63787664905965</v>
      </c>
      <c r="H18">
        <v>209.6762688</v>
      </c>
      <c r="I18">
        <v>74.038392150940354</v>
      </c>
      <c r="J18">
        <v>0.92698014197847844</v>
      </c>
      <c r="K18">
        <v>18.093683337333331</v>
      </c>
      <c r="L18">
        <f t="shared" si="0"/>
        <v>17.166703195354852</v>
      </c>
    </row>
    <row r="19" spans="1:12">
      <c r="A19" s="3" t="s">
        <v>36</v>
      </c>
      <c r="B19" s="3" t="s">
        <v>37</v>
      </c>
      <c r="C19" s="3" t="s">
        <v>67</v>
      </c>
      <c r="D19" s="3">
        <v>64.52</v>
      </c>
      <c r="E19" s="3">
        <v>0.73</v>
      </c>
      <c r="F19">
        <v>1637</v>
      </c>
      <c r="G19">
        <v>191.81015415323282</v>
      </c>
      <c r="H19">
        <v>239.8846144</v>
      </c>
      <c r="I19">
        <v>48.074460246767188</v>
      </c>
      <c r="J19">
        <v>8.2541010386610644E-2</v>
      </c>
      <c r="K19">
        <v>10.832865518666665</v>
      </c>
      <c r="L19">
        <f t="shared" si="0"/>
        <v>10.750324508280055</v>
      </c>
    </row>
    <row r="20" spans="1:12">
      <c r="A20" s="3" t="s">
        <v>38</v>
      </c>
      <c r="B20" s="3" t="s">
        <v>39</v>
      </c>
      <c r="C20" s="3" t="s">
        <v>68</v>
      </c>
      <c r="D20" s="3">
        <v>68.73</v>
      </c>
      <c r="E20" s="3">
        <v>0.17</v>
      </c>
      <c r="F20">
        <v>3738</v>
      </c>
      <c r="G20">
        <v>209.35120688406528</v>
      </c>
      <c r="H20">
        <v>183.28842359999999</v>
      </c>
      <c r="I20">
        <v>-26.06278328406529</v>
      </c>
      <c r="J20">
        <v>0.31116310685390691</v>
      </c>
      <c r="K20">
        <v>27.487633343333332</v>
      </c>
      <c r="L20">
        <f t="shared" si="0"/>
        <v>27.176470236479425</v>
      </c>
    </row>
    <row r="21" spans="1:12">
      <c r="A21" s="3" t="s">
        <v>40</v>
      </c>
      <c r="B21" s="3" t="s">
        <v>41</v>
      </c>
      <c r="C21" s="3" t="s">
        <v>69</v>
      </c>
      <c r="D21" s="3">
        <v>69.38</v>
      </c>
      <c r="E21" s="3">
        <v>-10.78</v>
      </c>
      <c r="F21">
        <v>3344</v>
      </c>
      <c r="G21">
        <v>231.8293515228273</v>
      </c>
      <c r="H21">
        <v>236.56163923333335</v>
      </c>
      <c r="I21">
        <v>4.732287710506057</v>
      </c>
      <c r="J21">
        <v>16.012767255645453</v>
      </c>
      <c r="K21">
        <v>29.181210352222223</v>
      </c>
      <c r="L21">
        <f t="shared" si="0"/>
        <v>13.16844309657677</v>
      </c>
    </row>
    <row r="22" spans="1:12">
      <c r="A22" s="3" t="s">
        <v>42</v>
      </c>
      <c r="B22" s="3" t="s">
        <v>43</v>
      </c>
      <c r="C22" s="3" t="s">
        <v>70</v>
      </c>
      <c r="D22" s="3">
        <v>70.12</v>
      </c>
      <c r="E22" s="3">
        <v>-17.690000000000001</v>
      </c>
      <c r="F22" s="2">
        <v>500</v>
      </c>
      <c r="G22">
        <v>113.58733159800222</v>
      </c>
      <c r="H22">
        <v>254.8054061</v>
      </c>
      <c r="I22">
        <v>141.21807450199776</v>
      </c>
      <c r="J22">
        <v>63.054083593622778</v>
      </c>
      <c r="K22">
        <v>32.654319573333332</v>
      </c>
      <c r="L22">
        <f t="shared" si="0"/>
        <v>-30.399764020289446</v>
      </c>
    </row>
    <row r="23" spans="1:12">
      <c r="A23" t="s">
        <v>44</v>
      </c>
      <c r="B23" t="s">
        <v>45</v>
      </c>
      <c r="C23" t="s">
        <v>71</v>
      </c>
      <c r="D23">
        <v>70.010000000000005</v>
      </c>
      <c r="E23">
        <v>-12.43</v>
      </c>
      <c r="F23">
        <v>3572</v>
      </c>
      <c r="G23">
        <v>201.57689231518401</v>
      </c>
      <c r="H23">
        <v>239.42712915999999</v>
      </c>
      <c r="I23">
        <v>37.850236844815981</v>
      </c>
      <c r="J23">
        <v>7.9960609219999998</v>
      </c>
      <c r="K23">
        <v>25.877501857733328</v>
      </c>
      <c r="L23">
        <f t="shared" si="0"/>
        <v>17.88144093573333</v>
      </c>
    </row>
    <row r="24" spans="1:12">
      <c r="A24" t="s">
        <v>46</v>
      </c>
      <c r="B24" t="s">
        <v>47</v>
      </c>
      <c r="C24" t="s">
        <v>72</v>
      </c>
      <c r="D24">
        <v>78.92</v>
      </c>
      <c r="E24">
        <v>6.77</v>
      </c>
      <c r="F24" s="2">
        <v>458</v>
      </c>
      <c r="G24">
        <v>89.793509939557296</v>
      </c>
      <c r="H24">
        <v>141.59426260000001</v>
      </c>
      <c r="I24">
        <v>51.800752660442711</v>
      </c>
      <c r="J24">
        <v>59.968829460000002</v>
      </c>
      <c r="K24">
        <v>31.550167815555557</v>
      </c>
      <c r="L24">
        <f t="shared" si="0"/>
        <v>-28.418661644444445</v>
      </c>
    </row>
    <row r="25" spans="1:12">
      <c r="A25" t="s">
        <v>48</v>
      </c>
      <c r="B25" t="s">
        <v>49</v>
      </c>
      <c r="C25" t="s">
        <v>73</v>
      </c>
      <c r="D25">
        <v>80.56</v>
      </c>
      <c r="E25">
        <v>10.29</v>
      </c>
      <c r="F25" s="4">
        <v>936</v>
      </c>
      <c r="G25">
        <v>95.857389438952936</v>
      </c>
      <c r="H25">
        <v>136.16865793333332</v>
      </c>
      <c r="I25">
        <v>40.311268494380386</v>
      </c>
      <c r="J25">
        <v>55.294765261376305</v>
      </c>
      <c r="K25">
        <v>33.150927643888892</v>
      </c>
      <c r="L25">
        <f t="shared" si="0"/>
        <v>-22.143837617487414</v>
      </c>
    </row>
  </sheetData>
  <phoneticPr fontId="4" type="noConversion"/>
  <pageMargins left="0.7" right="0.7" top="0.75" bottom="0.75" header="0.3" footer="0.3"/>
  <ignoredErrors>
    <ignoredError sqref="A3:A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Xiner Wu</dc:creator>
  <cp:lastModifiedBy>Wu, Xiner</cp:lastModifiedBy>
  <dcterms:created xsi:type="dcterms:W3CDTF">2015-06-05T18:17:20Z</dcterms:created>
  <dcterms:modified xsi:type="dcterms:W3CDTF">2025-06-09T20:10:31Z</dcterms:modified>
</cp:coreProperties>
</file>